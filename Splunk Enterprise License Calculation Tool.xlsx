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po-mydrive.ge.com/personal/212704410_ge_com/Documents/Documents/NPI/OTARMOR/SPLUNK GUIDANCE/"/>
    </mc:Choice>
  </mc:AlternateContent>
  <xr:revisionPtr revIDLastSave="1593" documentId="8_{CBC0E5A6-5C5B-4072-9530-2C1C30D6256C}" xr6:coauthVersionLast="47" xr6:coauthVersionMax="47" xr10:uidLastSave="{36440CCB-B5FE-4A6F-9BAF-4C7EBFE3846B}"/>
  <bookViews>
    <workbookView xWindow="51480" yWindow="-120" windowWidth="29040" windowHeight="15840" xr2:uid="{F80DCC3F-5A8C-4FDC-A524-57D12CDB1652}"/>
  </bookViews>
  <sheets>
    <sheet name="Splunk Ent. License Calculation" sheetId="1" r:id="rId1"/>
  </sheets>
  <definedNames>
    <definedName name="_xlnm.Print_Area" localSheetId="0">'Splunk Ent. License Calculation'!$B$4:$K$36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1" i="1" l="1"/>
  <c r="K30" i="1"/>
  <c r="H30" i="1"/>
  <c r="K29" i="1"/>
  <c r="H29" i="1"/>
  <c r="K28" i="1"/>
  <c r="H28" i="1"/>
  <c r="K27" i="1"/>
  <c r="H27" i="1"/>
  <c r="K26" i="1"/>
  <c r="H26" i="1"/>
  <c r="K25" i="1"/>
  <c r="H25" i="1"/>
  <c r="K24" i="1"/>
  <c r="H24" i="1"/>
  <c r="K23" i="1"/>
  <c r="H23" i="1"/>
  <c r="K22" i="1"/>
  <c r="H22" i="1"/>
  <c r="K21" i="1"/>
  <c r="H21" i="1"/>
  <c r="K20" i="1"/>
  <c r="H20" i="1"/>
  <c r="K19" i="1"/>
  <c r="H19" i="1"/>
  <c r="K18" i="1"/>
  <c r="H18" i="1"/>
  <c r="K17" i="1"/>
  <c r="H17" i="1"/>
  <c r="K16" i="1"/>
  <c r="H16" i="1"/>
  <c r="K15" i="1"/>
  <c r="H15" i="1"/>
  <c r="K14" i="1"/>
  <c r="H14" i="1"/>
  <c r="K13" i="1"/>
  <c r="H13" i="1"/>
  <c r="K12" i="1"/>
  <c r="H12" i="1"/>
  <c r="K11" i="1"/>
  <c r="H11" i="1"/>
  <c r="K10" i="1"/>
  <c r="H10" i="1"/>
  <c r="K9" i="1"/>
  <c r="H9" i="1"/>
  <c r="K8" i="1"/>
  <c r="H8" i="1"/>
  <c r="K31" i="1" l="1"/>
  <c r="H31" i="1" l="1"/>
  <c r="N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Calderon Gonzalez, Kristin (GE Vernova)</author>
  </authors>
  <commentList>
    <comment ref="C17" authorId="0" shapeId="0" xr:uid="{B09BBDD9-3C47-4AF2-B727-86BC4E647C32}">
      <text>
        <r>
          <rPr>
            <b/>
            <sz val="9"/>
            <color indexed="81"/>
            <rFont val="Tahoma"/>
            <family val="2"/>
          </rPr>
          <t>Calderon Gonzalez, Kristin (GE Vernova):</t>
        </r>
        <r>
          <rPr>
            <sz val="9"/>
            <color indexed="81"/>
            <rFont val="Tahoma"/>
            <family val="2"/>
          </rPr>
          <t xml:space="preserve">
Firewalls can contribute a high number of logs and may affect the LM1 resources (local storage, license). Recommended to tune FW log data. </t>
        </r>
      </text>
    </comment>
    <comment ref="C29" authorId="0" shapeId="0" xr:uid="{AF34074E-CDD0-4AEF-9E90-CAD0786E5BD1}">
      <text>
        <r>
          <rPr>
            <b/>
            <sz val="9"/>
            <color indexed="81"/>
            <rFont val="Tahoma"/>
            <family val="2"/>
          </rPr>
          <t>Calderon Gonzalez, Kristin (GE Vernova):</t>
        </r>
        <r>
          <rPr>
            <sz val="9"/>
            <color indexed="81"/>
            <rFont val="Tahoma"/>
            <family val="2"/>
          </rPr>
          <t xml:space="preserve">
VCSA can contribute a high number of logs and may affect the LM1 resources (local storage, license).</t>
        </r>
      </text>
    </comment>
    <comment ref="C30" authorId="0" shapeId="0" xr:uid="{5BF41CFA-2279-4983-9293-6071AA45AA0F}">
      <text>
        <r>
          <rPr>
            <b/>
            <sz val="9"/>
            <color indexed="81"/>
            <rFont val="Tahoma"/>
            <family val="2"/>
          </rPr>
          <t>Calderon Gonzalez, Kristin (GE Vernova):</t>
        </r>
        <r>
          <rPr>
            <sz val="9"/>
            <color indexed="81"/>
            <rFont val="Tahoma"/>
            <family val="2"/>
          </rPr>
          <t xml:space="preserve">
ESXi Hosts can contribute a high number of logs and may affect the LM1 resources (local storage, license).</t>
        </r>
      </text>
    </comment>
  </commentList>
</comments>
</file>

<file path=xl/sharedStrings.xml><?xml version="1.0" encoding="utf-8"?>
<sst xmlns="http://schemas.openxmlformats.org/spreadsheetml/2006/main" count="67" uniqueCount="67">
  <si>
    <t>QTY</t>
  </si>
  <si>
    <t>HOST</t>
  </si>
  <si>
    <t>Table: Splunk Daily Indexing Volume by Host (Average)</t>
  </si>
  <si>
    <t>* Its recommended to take the higher utilization total for the license</t>
  </si>
  <si>
    <t>TOTAL DEVICES</t>
  </si>
  <si>
    <t>LOW GB</t>
  </si>
  <si>
    <t>HIGH GB</t>
  </si>
  <si>
    <t>LOW TOTAL (GB)</t>
  </si>
  <si>
    <t>HIGH TOTAL (GB)</t>
  </si>
  <si>
    <t>Controller (MarkVIe Syslog)</t>
  </si>
  <si>
    <t>VCSA</t>
  </si>
  <si>
    <t>TOTAL (GB)</t>
  </si>
  <si>
    <t>CA1</t>
  </si>
  <si>
    <t>AM1</t>
  </si>
  <si>
    <t>AM3</t>
  </si>
  <si>
    <t>SP3</t>
  </si>
  <si>
    <t>CM1</t>
  </si>
  <si>
    <t>Controller</t>
  </si>
  <si>
    <t>DC1</t>
  </si>
  <si>
    <t>DC2</t>
  </si>
  <si>
    <t>DR1</t>
  </si>
  <si>
    <t>EWS</t>
  </si>
  <si>
    <t>HMI</t>
  </si>
  <si>
    <t>HST</t>
  </si>
  <si>
    <t>LM1</t>
  </si>
  <si>
    <t>NAS</t>
  </si>
  <si>
    <t>NM1</t>
  </si>
  <si>
    <t>PM1</t>
  </si>
  <si>
    <t>RDS</t>
  </si>
  <si>
    <t>SP1</t>
  </si>
  <si>
    <t>SP2</t>
  </si>
  <si>
    <t>VH/ESXi</t>
  </si>
  <si>
    <t>Domain Controller (VM)</t>
  </si>
  <si>
    <t>Domain Controller (VM or Physical)</t>
  </si>
  <si>
    <t>Centralized Backup (Acronis)</t>
  </si>
  <si>
    <t>Engineering Workstation (Physical or VM)</t>
  </si>
  <si>
    <t>Critical Operator HMI (Physical or 1:1 VM)</t>
  </si>
  <si>
    <t>Log Management - Splunk only w/Dashboard</t>
  </si>
  <si>
    <t>Network Monitoring - WhatsUpGold</t>
  </si>
  <si>
    <t>Patch Management - Ivanti</t>
  </si>
  <si>
    <t>Remote Desktop Session 1: Many HMI VM</t>
  </si>
  <si>
    <t>Centralized AV/DLP/AWS Trellix</t>
  </si>
  <si>
    <t>Network Switches (Cisco or Hirshmann or Other Brands)</t>
  </si>
  <si>
    <t>Firewall</t>
  </si>
  <si>
    <t>Switch</t>
  </si>
  <si>
    <t>Asset Management (VM)</t>
  </si>
  <si>
    <t>Configuration Management (VM)</t>
  </si>
  <si>
    <t>Historian (Physical or 1:1 VM)</t>
  </si>
  <si>
    <t>Centralized AV/DLP/AWS Trend Micro - Apex Central</t>
  </si>
  <si>
    <t>Centralized AV/DLP/AWS Trend Micro - Apex One</t>
  </si>
  <si>
    <t>Network Attached Storage - HPE (w OS - AGENT) vs Synology (no OS)</t>
  </si>
  <si>
    <t>(NZ1) - Asset Management (VM or Physical) (Nozomi Guardian)</t>
  </si>
  <si>
    <t>LM1 DATA (D:) DRIVE SIZE</t>
  </si>
  <si>
    <r>
      <t xml:space="preserve">Adjust </t>
    </r>
    <r>
      <rPr>
        <b/>
        <sz val="14"/>
        <color theme="1"/>
        <rFont val="Calibri"/>
        <family val="2"/>
        <scheme val="minor"/>
      </rPr>
      <t>QTY</t>
    </r>
    <r>
      <rPr>
        <sz val="14"/>
        <color theme="1"/>
        <rFont val="Calibri"/>
        <family val="2"/>
        <scheme val="minor"/>
      </rPr>
      <t xml:space="preserve"> (quantity) per Project</t>
    </r>
  </si>
  <si>
    <r>
      <t xml:space="preserve">Find the </t>
    </r>
    <r>
      <rPr>
        <b/>
        <sz val="14"/>
        <color theme="1"/>
        <rFont val="Calibri"/>
        <family val="2"/>
        <scheme val="minor"/>
      </rPr>
      <t>Low GB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Daily   </t>
    </r>
    <r>
      <rPr>
        <sz val="14"/>
        <color theme="1"/>
        <rFont val="Calibri"/>
        <family val="2"/>
        <scheme val="minor"/>
      </rPr>
      <t>Total per Quantity</t>
    </r>
  </si>
  <si>
    <r>
      <t xml:space="preserve">Find the </t>
    </r>
    <r>
      <rPr>
        <b/>
        <sz val="14"/>
        <color theme="1"/>
        <rFont val="Calibri"/>
        <family val="2"/>
        <scheme val="minor"/>
      </rPr>
      <t xml:space="preserve">High GB Daily </t>
    </r>
    <r>
      <rPr>
        <sz val="14"/>
        <color theme="1"/>
        <rFont val="Calibri"/>
        <family val="2"/>
        <scheme val="minor"/>
      </rPr>
      <t>Total per Quantity *</t>
    </r>
  </si>
  <si>
    <r>
      <rPr>
        <sz val="14"/>
        <rFont val="Calibri"/>
        <family val="2"/>
        <scheme val="minor"/>
      </rPr>
      <t xml:space="preserve">Firewalls (Physical Device) Fortinet / Palo / Others </t>
    </r>
    <r>
      <rPr>
        <b/>
        <sz val="14"/>
        <color rgb="FFFF0000"/>
        <rFont val="Calibri"/>
        <family val="2"/>
        <scheme val="minor"/>
      </rPr>
      <t>(See Note)</t>
    </r>
  </si>
  <si>
    <t>DATA DRIVE (GB)</t>
  </si>
  <si>
    <t>LICENSE SIZE (GB)</t>
  </si>
  <si>
    <t>Certificate Authority Server (VM)</t>
  </si>
  <si>
    <r>
      <rPr>
        <b/>
        <sz val="14"/>
        <color theme="1"/>
        <rFont val="Calibri"/>
        <family val="2"/>
        <scheme val="minor"/>
      </rPr>
      <t xml:space="preserve">Estimated </t>
    </r>
    <r>
      <rPr>
        <sz val="14"/>
        <color theme="1"/>
        <rFont val="Calibri"/>
        <family val="2"/>
        <scheme val="minor"/>
      </rPr>
      <t xml:space="preserve">Data Drive Size Based on </t>
    </r>
    <r>
      <rPr>
        <sz val="14"/>
        <color rgb="FF00B050"/>
        <rFont val="Calibri"/>
        <family val="2"/>
        <scheme val="minor"/>
      </rPr>
      <t xml:space="preserve">Low Total </t>
    </r>
    <r>
      <rPr>
        <sz val="14"/>
        <color theme="1"/>
        <rFont val="Calibri"/>
        <family val="2"/>
        <scheme val="minor"/>
      </rPr>
      <t>License</t>
    </r>
  </si>
  <si>
    <r>
      <t xml:space="preserve">* It is recommended to increase the local storage (D:) Drive if the environment requires a license </t>
    </r>
    <r>
      <rPr>
        <b/>
        <sz val="14"/>
        <color rgb="FF00B050"/>
        <rFont val="Calibri"/>
        <family val="2"/>
        <scheme val="minor"/>
      </rPr>
      <t>over 10GB (from low total)</t>
    </r>
    <r>
      <rPr>
        <sz val="14"/>
        <color rgb="FF00B050"/>
        <rFont val="Calibri"/>
        <family val="2"/>
        <scheme val="minor"/>
      </rPr>
      <t>.</t>
    </r>
    <r>
      <rPr>
        <sz val="14"/>
        <color theme="1"/>
        <rFont val="Calibri"/>
        <family val="2"/>
        <scheme val="minor"/>
      </rPr>
      <t xml:space="preserve"> Standard LM1 Data (D:) Drive size is = 400 GB. A high number of devices and/or multiple firewalls will contribute a larger amount of logs. More logs = larger license and storage. Please plan accordingly per site requirements.</t>
    </r>
  </si>
  <si>
    <t>Base/Standard</t>
  </si>
  <si>
    <r>
      <t xml:space="preserve">vCenter Server Appliance - VMWare Count 1 only for every HA cluster </t>
    </r>
    <r>
      <rPr>
        <b/>
        <sz val="14"/>
        <color rgb="FFFF0000"/>
        <rFont val="Calibri"/>
        <family val="2"/>
        <scheme val="minor"/>
      </rPr>
      <t>(See Note)</t>
    </r>
  </si>
  <si>
    <r>
      <t>Virtual Host Count  (Number of Servers / Cluster)</t>
    </r>
    <r>
      <rPr>
        <b/>
        <sz val="14"/>
        <color rgb="FFFF0000"/>
        <rFont val="Calibri"/>
        <family val="2"/>
        <scheme val="minor"/>
      </rPr>
      <t xml:space="preserve"> (See Note)</t>
    </r>
  </si>
  <si>
    <t xml:space="preserve">Splunk Enterprise License </t>
  </si>
  <si>
    <r>
      <t xml:space="preserve">The Splunk Enterprise license is measured by the volume of data ingested by the indexer per-day (24 hours), defined as a </t>
    </r>
    <r>
      <rPr>
        <i/>
        <sz val="18"/>
        <color theme="1"/>
        <rFont val="Calibri"/>
        <family val="2"/>
        <scheme val="minor"/>
      </rPr>
      <t>volume-based license</t>
    </r>
    <r>
      <rPr>
        <sz val="18"/>
        <color theme="1"/>
        <rFont val="Calibri"/>
        <family val="2"/>
        <scheme val="minor"/>
      </rPr>
      <t xml:space="preserve"> (GB per-day). The following table can be used to estimate the Splunk daily license utilization based on quantity of assets and asset type. Each asset may forward a different amount of log data depending on the type and/or configuration. There is a Low and High (daily) GB calculation for each asset type. *It is recommended to purchase the High GB output to prevent license overutilization causing license violations. Plug in the asset quantities below (</t>
    </r>
    <r>
      <rPr>
        <i/>
        <sz val="18"/>
        <color theme="1"/>
        <rFont val="Calibri"/>
        <family val="2"/>
        <scheme val="minor"/>
      </rPr>
      <t>QTY</t>
    </r>
    <r>
      <rPr>
        <sz val="18"/>
        <color theme="1"/>
        <rFont val="Calibri"/>
        <family val="2"/>
        <scheme val="minor"/>
      </rPr>
      <t xml:space="preserve"> column) to find the estimated Splunk license required.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</si>
</sst>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sz val="14"/>
      <color rgb="FF00B05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i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5" fillId="0" borderId="0" xfId="0" applyFont="1"/>
    <xf numFmtId="0" fontId="2" fillId="5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/>
    </xf>
    <xf numFmtId="0" fontId="5" fillId="5" borderId="0" xfId="0" applyFont="1" applyFill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5" fillId="0" borderId="1" xfId="0" applyFont="1" applyBorder="1" applyAlignment="1">
      <alignment horizontal="left"/>
    </xf>
    <xf numFmtId="0" fontId="2" fillId="5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5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0" fontId="2" fillId="7" borderId="0" xfId="0" applyFont="1" applyFill="1"/>
    <xf numFmtId="0" fontId="5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6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7D630-FAB3-43D6-A699-BC12F7B491CC}">
  <dimension ref="B1:O37"/>
  <sheetViews>
    <sheetView tabSelected="1" zoomScale="70" zoomScaleNormal="70" workbookViewId="0">
      <selection activeCell="B4" sqref="B4:K4"/>
    </sheetView>
  </sheetViews>
  <sheetFormatPr defaultColWidth="9.140625" defaultRowHeight="18.75" x14ac:dyDescent="0.3"/>
  <cols>
    <col min="1" max="1" width="4" style="1" customWidth="1"/>
    <col min="2" max="2" width="93.140625" style="1" bestFit="1" customWidth="1"/>
    <col min="3" max="3" width="18" style="21" bestFit="1" customWidth="1"/>
    <col min="4" max="4" width="1" style="1" customWidth="1"/>
    <col min="5" max="5" width="19.5703125" style="1" customWidth="1"/>
    <col min="6" max="6" width="2.5703125" style="1" customWidth="1"/>
    <col min="7" max="7" width="18.28515625" style="1" bestFit="1" customWidth="1"/>
    <col min="8" max="8" width="9.140625" style="1" bestFit="1" customWidth="1"/>
    <col min="9" max="9" width="2.5703125" style="1" customWidth="1"/>
    <col min="10" max="10" width="18.7109375" style="1" bestFit="1" customWidth="1"/>
    <col min="11" max="11" width="11" style="1" bestFit="1" customWidth="1"/>
    <col min="12" max="12" width="2.5703125" style="1" customWidth="1"/>
    <col min="13" max="13" width="20.5703125" style="1" bestFit="1" customWidth="1"/>
    <col min="14" max="14" width="20.140625" style="1" bestFit="1" customWidth="1"/>
    <col min="15" max="15" width="18.28515625" style="1" bestFit="1" customWidth="1"/>
    <col min="16" max="16" width="10.42578125" style="1" customWidth="1"/>
    <col min="17" max="17" width="6" style="1" customWidth="1"/>
    <col min="18" max="16384" width="9.140625" style="1"/>
  </cols>
  <sheetData>
    <row r="1" spans="2:15" x14ac:dyDescent="0.3">
      <c r="C1" s="37"/>
    </row>
    <row r="2" spans="2:15" ht="36" x14ac:dyDescent="0.3">
      <c r="B2" s="39" t="s">
        <v>65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2:15" ht="136.5" customHeight="1" x14ac:dyDescent="0.3">
      <c r="B3" s="38" t="s">
        <v>66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2:15" ht="33.6" customHeight="1" x14ac:dyDescent="0.3">
      <c r="B4" s="42" t="s">
        <v>2</v>
      </c>
      <c r="C4" s="42"/>
      <c r="D4" s="42"/>
      <c r="E4" s="42"/>
      <c r="F4" s="42"/>
      <c r="G4" s="42"/>
      <c r="H4" s="42"/>
      <c r="I4" s="42"/>
      <c r="J4" s="42"/>
      <c r="K4" s="42"/>
    </row>
    <row r="5" spans="2:15" ht="36.6" customHeight="1" x14ac:dyDescent="0.3">
      <c r="B5" s="46" t="s">
        <v>1</v>
      </c>
      <c r="C5" s="47"/>
      <c r="D5" s="2"/>
      <c r="E5" s="17" t="s">
        <v>0</v>
      </c>
      <c r="F5" s="2"/>
      <c r="G5" s="46" t="s">
        <v>5</v>
      </c>
      <c r="H5" s="47"/>
      <c r="I5" s="2"/>
      <c r="J5" s="46" t="s">
        <v>6</v>
      </c>
      <c r="K5" s="47"/>
      <c r="M5" s="56" t="s">
        <v>52</v>
      </c>
      <c r="N5" s="57"/>
    </row>
    <row r="6" spans="2:15" ht="55.9" customHeight="1" x14ac:dyDescent="0.3">
      <c r="B6" s="54"/>
      <c r="C6" s="55"/>
      <c r="D6" s="2"/>
      <c r="E6" s="3" t="s">
        <v>53</v>
      </c>
      <c r="F6" s="2"/>
      <c r="G6" s="44" t="s">
        <v>54</v>
      </c>
      <c r="H6" s="45"/>
      <c r="I6" s="2"/>
      <c r="J6" s="44" t="s">
        <v>55</v>
      </c>
      <c r="K6" s="45"/>
      <c r="M6" s="58" t="s">
        <v>60</v>
      </c>
      <c r="N6" s="59"/>
    </row>
    <row r="7" spans="2:15" ht="37.5" x14ac:dyDescent="0.3">
      <c r="B7" s="27"/>
      <c r="C7" s="28"/>
      <c r="D7" s="2"/>
      <c r="E7" s="3"/>
      <c r="F7" s="2"/>
      <c r="G7" s="44"/>
      <c r="H7" s="45"/>
      <c r="I7" s="2"/>
      <c r="J7" s="44"/>
      <c r="K7" s="45"/>
      <c r="M7" s="26" t="s">
        <v>58</v>
      </c>
      <c r="N7" s="26" t="s">
        <v>57</v>
      </c>
    </row>
    <row r="8" spans="2:15" x14ac:dyDescent="0.3">
      <c r="B8" s="4" t="s">
        <v>45</v>
      </c>
      <c r="C8" s="24" t="s">
        <v>13</v>
      </c>
      <c r="D8" s="5"/>
      <c r="E8" s="23">
        <v>0</v>
      </c>
      <c r="F8" s="7"/>
      <c r="G8" s="8">
        <v>7.0000000000000007E-2</v>
      </c>
      <c r="H8" s="9">
        <f t="shared" ref="H8:H30" si="0">G8*E8</f>
        <v>0</v>
      </c>
      <c r="I8" s="7"/>
      <c r="J8" s="8">
        <v>0.1</v>
      </c>
      <c r="K8" s="10">
        <f t="shared" ref="K8:K30" si="1">J8*E8</f>
        <v>0</v>
      </c>
      <c r="M8" s="34">
        <v>10</v>
      </c>
      <c r="N8" s="35">
        <v>400</v>
      </c>
      <c r="O8" s="36" t="s">
        <v>62</v>
      </c>
    </row>
    <row r="9" spans="2:15" x14ac:dyDescent="0.3">
      <c r="B9" s="4" t="s">
        <v>51</v>
      </c>
      <c r="C9" s="24" t="s">
        <v>14</v>
      </c>
      <c r="D9" s="5"/>
      <c r="E9" s="23">
        <v>0</v>
      </c>
      <c r="F9" s="7"/>
      <c r="G9" s="8">
        <v>7.0000000000000007E-2</v>
      </c>
      <c r="H9" s="9">
        <f t="shared" si="0"/>
        <v>0</v>
      </c>
      <c r="I9" s="7"/>
      <c r="J9" s="8">
        <v>0.1</v>
      </c>
      <c r="K9" s="10">
        <f t="shared" si="1"/>
        <v>0</v>
      </c>
      <c r="M9" s="33">
        <v>15</v>
      </c>
      <c r="N9" s="29">
        <v>500</v>
      </c>
    </row>
    <row r="10" spans="2:15" x14ac:dyDescent="0.3">
      <c r="B10" s="4" t="s">
        <v>59</v>
      </c>
      <c r="C10" s="24" t="s">
        <v>12</v>
      </c>
      <c r="D10" s="5"/>
      <c r="E10" s="23">
        <v>1</v>
      </c>
      <c r="F10" s="7"/>
      <c r="G10" s="8">
        <v>0.2</v>
      </c>
      <c r="H10" s="9">
        <f t="shared" si="0"/>
        <v>0.2</v>
      </c>
      <c r="I10" s="7"/>
      <c r="J10" s="8">
        <v>0.4</v>
      </c>
      <c r="K10" s="10">
        <f t="shared" si="1"/>
        <v>0.4</v>
      </c>
      <c r="M10" s="33">
        <v>20</v>
      </c>
      <c r="N10" s="29">
        <v>600</v>
      </c>
    </row>
    <row r="11" spans="2:15" x14ac:dyDescent="0.3">
      <c r="B11" s="4" t="s">
        <v>46</v>
      </c>
      <c r="C11" s="24" t="s">
        <v>16</v>
      </c>
      <c r="D11" s="5"/>
      <c r="E11" s="23">
        <v>0</v>
      </c>
      <c r="F11" s="7"/>
      <c r="G11" s="8">
        <v>7.0000000000000007E-2</v>
      </c>
      <c r="H11" s="9">
        <f t="shared" si="0"/>
        <v>0</v>
      </c>
      <c r="I11" s="7"/>
      <c r="J11" s="8">
        <v>0.1</v>
      </c>
      <c r="K11" s="10">
        <f t="shared" si="1"/>
        <v>0</v>
      </c>
      <c r="M11" s="33">
        <v>25</v>
      </c>
      <c r="N11" s="29">
        <v>700</v>
      </c>
    </row>
    <row r="12" spans="2:15" ht="18.399999999999999" customHeight="1" x14ac:dyDescent="0.3">
      <c r="B12" s="4" t="s">
        <v>9</v>
      </c>
      <c r="C12" s="24" t="s">
        <v>17</v>
      </c>
      <c r="D12" s="5"/>
      <c r="E12" s="23">
        <v>1</v>
      </c>
      <c r="F12" s="7"/>
      <c r="G12" s="8">
        <v>0.05</v>
      </c>
      <c r="H12" s="9">
        <f t="shared" si="0"/>
        <v>0.05</v>
      </c>
      <c r="I12" s="7"/>
      <c r="J12" s="8">
        <v>0.05</v>
      </c>
      <c r="K12" s="10">
        <f t="shared" si="1"/>
        <v>0.05</v>
      </c>
      <c r="M12" s="33">
        <v>30</v>
      </c>
      <c r="N12" s="29">
        <v>800</v>
      </c>
    </row>
    <row r="13" spans="2:15" ht="18.399999999999999" customHeight="1" x14ac:dyDescent="0.3">
      <c r="B13" s="4" t="s">
        <v>32</v>
      </c>
      <c r="C13" s="24" t="s">
        <v>18</v>
      </c>
      <c r="D13" s="5"/>
      <c r="E13" s="23">
        <v>1</v>
      </c>
      <c r="F13" s="7"/>
      <c r="G13" s="8">
        <v>0.4</v>
      </c>
      <c r="H13" s="9">
        <f t="shared" si="0"/>
        <v>0.4</v>
      </c>
      <c r="I13" s="7"/>
      <c r="J13" s="8">
        <v>0.6</v>
      </c>
      <c r="K13" s="10">
        <f t="shared" si="1"/>
        <v>0.6</v>
      </c>
      <c r="M13" s="33">
        <v>35</v>
      </c>
      <c r="N13" s="29">
        <v>900</v>
      </c>
    </row>
    <row r="14" spans="2:15" x14ac:dyDescent="0.3">
      <c r="B14" s="4" t="s">
        <v>33</v>
      </c>
      <c r="C14" s="24" t="s">
        <v>19</v>
      </c>
      <c r="D14" s="5"/>
      <c r="E14" s="23">
        <v>1</v>
      </c>
      <c r="F14" s="7"/>
      <c r="G14" s="8">
        <v>0.4</v>
      </c>
      <c r="H14" s="9">
        <f t="shared" si="0"/>
        <v>0.4</v>
      </c>
      <c r="I14" s="7"/>
      <c r="J14" s="8">
        <v>0.6</v>
      </c>
      <c r="K14" s="10">
        <f t="shared" si="1"/>
        <v>0.6</v>
      </c>
      <c r="M14" s="33">
        <v>40</v>
      </c>
      <c r="N14" s="29">
        <v>1000</v>
      </c>
    </row>
    <row r="15" spans="2:15" x14ac:dyDescent="0.3">
      <c r="B15" s="4" t="s">
        <v>34</v>
      </c>
      <c r="C15" s="24" t="s">
        <v>20</v>
      </c>
      <c r="D15" s="5"/>
      <c r="E15" s="23">
        <v>1</v>
      </c>
      <c r="F15" s="7"/>
      <c r="G15" s="8">
        <v>0.3</v>
      </c>
      <c r="H15" s="9">
        <f t="shared" si="0"/>
        <v>0.3</v>
      </c>
      <c r="I15" s="7"/>
      <c r="J15" s="8">
        <v>0.5</v>
      </c>
      <c r="K15" s="10">
        <f t="shared" si="1"/>
        <v>0.5</v>
      </c>
      <c r="M15" s="33">
        <v>45</v>
      </c>
      <c r="N15" s="29">
        <v>1100</v>
      </c>
    </row>
    <row r="16" spans="2:15" x14ac:dyDescent="0.3">
      <c r="B16" s="4" t="s">
        <v>35</v>
      </c>
      <c r="C16" s="24" t="s">
        <v>21</v>
      </c>
      <c r="D16" s="5"/>
      <c r="E16" s="23">
        <v>1</v>
      </c>
      <c r="F16" s="7"/>
      <c r="G16" s="8">
        <v>0.2</v>
      </c>
      <c r="H16" s="9">
        <f t="shared" si="0"/>
        <v>0.2</v>
      </c>
      <c r="I16" s="7"/>
      <c r="J16" s="8">
        <v>0.5</v>
      </c>
      <c r="K16" s="10">
        <f t="shared" si="1"/>
        <v>0.5</v>
      </c>
      <c r="M16" s="33">
        <v>50</v>
      </c>
      <c r="N16" s="29">
        <v>1200</v>
      </c>
    </row>
    <row r="17" spans="2:14" x14ac:dyDescent="0.3">
      <c r="B17" s="11" t="s">
        <v>56</v>
      </c>
      <c r="C17" s="24" t="s">
        <v>43</v>
      </c>
      <c r="D17" s="5"/>
      <c r="E17" s="23">
        <v>1</v>
      </c>
      <c r="F17" s="7"/>
      <c r="G17" s="8">
        <v>1.5</v>
      </c>
      <c r="H17" s="9">
        <f t="shared" si="0"/>
        <v>1.5</v>
      </c>
      <c r="I17" s="7"/>
      <c r="J17" s="8">
        <v>3</v>
      </c>
      <c r="K17" s="10">
        <f t="shared" si="1"/>
        <v>3</v>
      </c>
      <c r="M17" s="33">
        <v>55</v>
      </c>
      <c r="N17" s="29">
        <v>1300</v>
      </c>
    </row>
    <row r="18" spans="2:14" x14ac:dyDescent="0.3">
      <c r="B18" s="4" t="s">
        <v>36</v>
      </c>
      <c r="C18" s="24" t="s">
        <v>22</v>
      </c>
      <c r="D18" s="5"/>
      <c r="E18" s="23">
        <v>8</v>
      </c>
      <c r="F18" s="7"/>
      <c r="G18" s="8">
        <v>0.05</v>
      </c>
      <c r="H18" s="9">
        <f t="shared" si="0"/>
        <v>0.4</v>
      </c>
      <c r="I18" s="7"/>
      <c r="J18" s="8">
        <v>0.1</v>
      </c>
      <c r="K18" s="10">
        <f t="shared" si="1"/>
        <v>0.8</v>
      </c>
      <c r="M18" s="33">
        <v>60</v>
      </c>
      <c r="N18" s="29">
        <v>1400</v>
      </c>
    </row>
    <row r="19" spans="2:14" x14ac:dyDescent="0.3">
      <c r="B19" s="4" t="s">
        <v>47</v>
      </c>
      <c r="C19" s="24" t="s">
        <v>23</v>
      </c>
      <c r="D19" s="5"/>
      <c r="E19" s="23">
        <v>0</v>
      </c>
      <c r="F19" s="7"/>
      <c r="G19" s="8">
        <v>0.2</v>
      </c>
      <c r="H19" s="9">
        <f t="shared" si="0"/>
        <v>0</v>
      </c>
      <c r="I19" s="7"/>
      <c r="J19" s="8">
        <v>0.4</v>
      </c>
      <c r="K19" s="10">
        <f t="shared" si="1"/>
        <v>0</v>
      </c>
      <c r="M19" s="33">
        <v>65</v>
      </c>
      <c r="N19" s="29">
        <v>1500</v>
      </c>
    </row>
    <row r="20" spans="2:14" x14ac:dyDescent="0.3">
      <c r="B20" s="4" t="s">
        <v>37</v>
      </c>
      <c r="C20" s="24" t="s">
        <v>24</v>
      </c>
      <c r="D20" s="5"/>
      <c r="E20" s="23">
        <v>1</v>
      </c>
      <c r="F20" s="7"/>
      <c r="G20" s="8">
        <v>0.6</v>
      </c>
      <c r="H20" s="9">
        <f t="shared" si="0"/>
        <v>0.6</v>
      </c>
      <c r="I20" s="7"/>
      <c r="J20" s="8">
        <v>1.1000000000000001</v>
      </c>
      <c r="K20" s="10">
        <f t="shared" si="1"/>
        <v>1.1000000000000001</v>
      </c>
      <c r="M20" s="33">
        <v>70</v>
      </c>
      <c r="N20" s="29">
        <v>1600</v>
      </c>
    </row>
    <row r="21" spans="2:14" x14ac:dyDescent="0.3">
      <c r="B21" s="12" t="s">
        <v>50</v>
      </c>
      <c r="C21" s="24" t="s">
        <v>25</v>
      </c>
      <c r="D21" s="5"/>
      <c r="E21" s="23">
        <v>1</v>
      </c>
      <c r="F21" s="7"/>
      <c r="G21" s="6">
        <v>0.5</v>
      </c>
      <c r="H21" s="13">
        <f t="shared" si="0"/>
        <v>0.5</v>
      </c>
      <c r="I21" s="14"/>
      <c r="J21" s="6">
        <v>0.7</v>
      </c>
      <c r="K21" s="10">
        <f t="shared" si="1"/>
        <v>0.7</v>
      </c>
      <c r="M21" s="33">
        <v>75</v>
      </c>
      <c r="N21" s="29">
        <v>1700</v>
      </c>
    </row>
    <row r="22" spans="2:14" x14ac:dyDescent="0.3">
      <c r="B22" s="4" t="s">
        <v>38</v>
      </c>
      <c r="C22" s="24" t="s">
        <v>26</v>
      </c>
      <c r="D22" s="5"/>
      <c r="E22" s="23">
        <v>0</v>
      </c>
      <c r="F22" s="7"/>
      <c r="G22" s="6">
        <v>0.2</v>
      </c>
      <c r="H22" s="13">
        <f t="shared" si="0"/>
        <v>0</v>
      </c>
      <c r="I22" s="14"/>
      <c r="J22" s="6">
        <v>0.4</v>
      </c>
      <c r="K22" s="10">
        <f t="shared" si="1"/>
        <v>0</v>
      </c>
      <c r="M22" s="33">
        <v>80</v>
      </c>
      <c r="N22" s="29">
        <v>1800</v>
      </c>
    </row>
    <row r="23" spans="2:14" x14ac:dyDescent="0.3">
      <c r="B23" s="15" t="s">
        <v>39</v>
      </c>
      <c r="C23" s="24" t="s">
        <v>27</v>
      </c>
      <c r="D23" s="5"/>
      <c r="E23" s="23">
        <v>1</v>
      </c>
      <c r="F23" s="7"/>
      <c r="G23" s="6">
        <v>0.2</v>
      </c>
      <c r="H23" s="13">
        <f t="shared" si="0"/>
        <v>0.2</v>
      </c>
      <c r="I23" s="14"/>
      <c r="J23" s="6">
        <v>0.4</v>
      </c>
      <c r="K23" s="10">
        <f t="shared" si="1"/>
        <v>0.4</v>
      </c>
      <c r="M23" s="33">
        <v>85</v>
      </c>
      <c r="N23" s="29">
        <v>1900</v>
      </c>
    </row>
    <row r="24" spans="2:14" x14ac:dyDescent="0.3">
      <c r="B24" s="15" t="s">
        <v>40</v>
      </c>
      <c r="C24" s="24" t="s">
        <v>28</v>
      </c>
      <c r="D24" s="5"/>
      <c r="E24" s="23">
        <v>0</v>
      </c>
      <c r="F24" s="7"/>
      <c r="G24" s="8">
        <v>0.2</v>
      </c>
      <c r="H24" s="9">
        <f t="shared" si="0"/>
        <v>0</v>
      </c>
      <c r="I24" s="7"/>
      <c r="J24" s="8">
        <v>0.4</v>
      </c>
      <c r="K24" s="10">
        <f t="shared" si="1"/>
        <v>0</v>
      </c>
      <c r="M24" s="33">
        <v>90</v>
      </c>
      <c r="N24" s="29">
        <v>2000</v>
      </c>
    </row>
    <row r="25" spans="2:14" x14ac:dyDescent="0.3">
      <c r="B25" s="15" t="s">
        <v>41</v>
      </c>
      <c r="C25" s="24" t="s">
        <v>29</v>
      </c>
      <c r="D25" s="5"/>
      <c r="E25" s="23">
        <v>1</v>
      </c>
      <c r="F25" s="7"/>
      <c r="G25" s="8">
        <v>0.2</v>
      </c>
      <c r="H25" s="9">
        <f t="shared" si="0"/>
        <v>0.2</v>
      </c>
      <c r="I25" s="7"/>
      <c r="J25" s="8">
        <v>0.3</v>
      </c>
      <c r="K25" s="10">
        <f t="shared" si="1"/>
        <v>0.3</v>
      </c>
      <c r="M25" s="33">
        <v>95</v>
      </c>
      <c r="N25" s="29">
        <v>2100</v>
      </c>
    </row>
    <row r="26" spans="2:14" x14ac:dyDescent="0.3">
      <c r="B26" s="15" t="s">
        <v>48</v>
      </c>
      <c r="C26" s="24" t="s">
        <v>30</v>
      </c>
      <c r="D26" s="5"/>
      <c r="E26" s="23">
        <v>0</v>
      </c>
      <c r="F26" s="7"/>
      <c r="G26" s="8">
        <v>0.2</v>
      </c>
      <c r="H26" s="9">
        <f t="shared" si="0"/>
        <v>0</v>
      </c>
      <c r="I26" s="7"/>
      <c r="J26" s="8">
        <v>0.3</v>
      </c>
      <c r="K26" s="10">
        <f t="shared" si="1"/>
        <v>0</v>
      </c>
      <c r="M26" s="33">
        <v>100</v>
      </c>
      <c r="N26" s="29">
        <v>2200</v>
      </c>
    </row>
    <row r="27" spans="2:14" ht="18.399999999999999" customHeight="1" x14ac:dyDescent="0.3">
      <c r="B27" s="15" t="s">
        <v>49</v>
      </c>
      <c r="C27" s="24" t="s">
        <v>15</v>
      </c>
      <c r="D27" s="5"/>
      <c r="E27" s="23">
        <v>0</v>
      </c>
      <c r="F27" s="7"/>
      <c r="G27" s="8">
        <v>0.2</v>
      </c>
      <c r="H27" s="9">
        <f t="shared" si="0"/>
        <v>0</v>
      </c>
      <c r="I27" s="7"/>
      <c r="J27" s="8">
        <v>0.3</v>
      </c>
      <c r="K27" s="10">
        <f t="shared" si="1"/>
        <v>0</v>
      </c>
      <c r="M27" s="33">
        <v>105</v>
      </c>
      <c r="N27" s="29">
        <v>2300</v>
      </c>
    </row>
    <row r="28" spans="2:14" ht="18.399999999999999" customHeight="1" x14ac:dyDescent="0.3">
      <c r="B28" s="4" t="s">
        <v>42</v>
      </c>
      <c r="C28" s="24" t="s">
        <v>44</v>
      </c>
      <c r="D28" s="5"/>
      <c r="E28" s="23">
        <v>0</v>
      </c>
      <c r="F28" s="7"/>
      <c r="G28" s="8">
        <v>0.05</v>
      </c>
      <c r="H28" s="9">
        <f t="shared" si="0"/>
        <v>0</v>
      </c>
      <c r="I28" s="7"/>
      <c r="J28" s="8">
        <v>0.1</v>
      </c>
      <c r="K28" s="10">
        <f t="shared" si="1"/>
        <v>0</v>
      </c>
      <c r="M28" s="33">
        <v>110</v>
      </c>
      <c r="N28" s="29">
        <v>2400</v>
      </c>
    </row>
    <row r="29" spans="2:14" x14ac:dyDescent="0.3">
      <c r="B29" s="12" t="s">
        <v>63</v>
      </c>
      <c r="C29" s="24" t="s">
        <v>10</v>
      </c>
      <c r="D29" s="5"/>
      <c r="E29" s="23">
        <v>1</v>
      </c>
      <c r="F29" s="7"/>
      <c r="G29" s="8">
        <v>0.5</v>
      </c>
      <c r="H29" s="9">
        <f t="shared" si="0"/>
        <v>0.5</v>
      </c>
      <c r="I29" s="7"/>
      <c r="J29" s="8">
        <v>0.7</v>
      </c>
      <c r="K29" s="10">
        <f t="shared" si="1"/>
        <v>0.7</v>
      </c>
      <c r="M29" s="33">
        <v>115</v>
      </c>
      <c r="N29" s="29">
        <v>2500</v>
      </c>
    </row>
    <row r="30" spans="2:14" x14ac:dyDescent="0.3">
      <c r="B30" s="15" t="s">
        <v>64</v>
      </c>
      <c r="C30" s="24" t="s">
        <v>31</v>
      </c>
      <c r="D30" s="5"/>
      <c r="E30" s="23">
        <v>3</v>
      </c>
      <c r="F30" s="7"/>
      <c r="G30" s="8">
        <v>0.1</v>
      </c>
      <c r="H30" s="9">
        <f t="shared" si="0"/>
        <v>0.30000000000000004</v>
      </c>
      <c r="I30" s="7"/>
      <c r="J30" s="8">
        <v>0.3</v>
      </c>
      <c r="K30" s="10">
        <f t="shared" si="1"/>
        <v>0.89999999999999991</v>
      </c>
      <c r="M30" s="33">
        <v>120</v>
      </c>
      <c r="N30" s="29">
        <v>2600</v>
      </c>
    </row>
    <row r="31" spans="2:14" ht="36.6" customHeight="1" x14ac:dyDescent="0.3">
      <c r="B31" s="52" t="s">
        <v>4</v>
      </c>
      <c r="C31" s="53"/>
      <c r="D31" s="16"/>
      <c r="E31" s="32">
        <f>SUM(E8:E30)</f>
        <v>23</v>
      </c>
      <c r="F31" s="2"/>
      <c r="G31" s="18" t="s">
        <v>7</v>
      </c>
      <c r="H31" s="31">
        <f>SUM(H8:H30)</f>
        <v>5.75</v>
      </c>
      <c r="I31" s="2"/>
      <c r="J31" s="19" t="s">
        <v>8</v>
      </c>
      <c r="K31" s="30">
        <f>SUM(K8:K30)</f>
        <v>10.55</v>
      </c>
      <c r="M31" s="18" t="s">
        <v>11</v>
      </c>
      <c r="N31" s="31" t="str">
        <f>IF(H31&lt;=10,"400","SEE ABOVE")</f>
        <v>400</v>
      </c>
    </row>
    <row r="32" spans="2:14" ht="18.399999999999999" customHeight="1" x14ac:dyDescent="0.3">
      <c r="B32" s="43"/>
      <c r="C32" s="43"/>
      <c r="F32" s="20"/>
      <c r="G32" s="49"/>
      <c r="H32" s="49"/>
      <c r="J32" s="49"/>
      <c r="K32" s="49"/>
      <c r="M32" s="51"/>
      <c r="N32" s="51"/>
    </row>
    <row r="33" spans="2:14" ht="240.75" customHeight="1" x14ac:dyDescent="0.3">
      <c r="B33" s="43"/>
      <c r="C33" s="43"/>
      <c r="D33" s="43"/>
      <c r="E33" s="43"/>
      <c r="F33" s="43"/>
      <c r="G33" s="43"/>
      <c r="H33" s="43"/>
      <c r="J33" s="48" t="s">
        <v>3</v>
      </c>
      <c r="K33" s="48"/>
      <c r="L33"/>
      <c r="M33" s="50" t="s">
        <v>61</v>
      </c>
      <c r="N33" s="50"/>
    </row>
    <row r="34" spans="2:14" ht="72" customHeight="1" x14ac:dyDescent="0.3">
      <c r="F34" s="20"/>
      <c r="G34" s="20"/>
    </row>
    <row r="35" spans="2:14" x14ac:dyDescent="0.3">
      <c r="F35" s="20"/>
      <c r="G35" s="20"/>
    </row>
    <row r="36" spans="2:14" x14ac:dyDescent="0.3">
      <c r="E36" s="22"/>
      <c r="F36" s="22"/>
      <c r="G36" s="20"/>
      <c r="I36" s="25"/>
    </row>
    <row r="37" spans="2:14" x14ac:dyDescent="0.3">
      <c r="I37" s="25"/>
    </row>
  </sheetData>
  <sortState xmlns:xlrd2="http://schemas.microsoft.com/office/spreadsheetml/2017/richdata2" ref="B9:B30">
    <sortCondition ref="B30"/>
  </sortState>
  <mergeCells count="21">
    <mergeCell ref="G7:H7"/>
    <mergeCell ref="M5:N5"/>
    <mergeCell ref="M6:N6"/>
    <mergeCell ref="G32:H32"/>
    <mergeCell ref="B32:C32"/>
    <mergeCell ref="B3:N3"/>
    <mergeCell ref="B2:N2"/>
    <mergeCell ref="B4:K4"/>
    <mergeCell ref="B33:H33"/>
    <mergeCell ref="G6:H6"/>
    <mergeCell ref="J6:K6"/>
    <mergeCell ref="G5:H5"/>
    <mergeCell ref="J5:K5"/>
    <mergeCell ref="J33:K33"/>
    <mergeCell ref="J32:K32"/>
    <mergeCell ref="M33:N33"/>
    <mergeCell ref="M32:N32"/>
    <mergeCell ref="B5:C5"/>
    <mergeCell ref="B31:C31"/>
    <mergeCell ref="B6:C6"/>
    <mergeCell ref="J7:K7"/>
  </mergeCells>
  <phoneticPr fontId="1" type="noConversion"/>
  <conditionalFormatting sqref="M8:N8">
    <cfRule type="cellIs" dxfId="2" priority="2" operator="equal">
      <formula>$E$31=20</formula>
    </cfRule>
    <cfRule type="cellIs" dxfId="1" priority="3" operator="equal">
      <formula>20</formula>
    </cfRule>
  </conditionalFormatting>
  <conditionalFormatting sqref="M8">
    <cfRule type="cellIs" dxfId="0" priority="1" operator="equal">
      <formula>$K$31</formula>
    </cfRule>
  </conditionalFormatting>
  <pageMargins left="0.7" right="0.7" top="0.75" bottom="0.75" header="0.3" footer="0.3"/>
  <pageSetup orientation="portrait" r:id="rId1"/>
  <colBreaks count="1" manualBreakCount="1">
    <brk id="11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Splunk Ent. License Calculation</vt:lpstr>
      <vt:lpstr>'Splunk Ent. License Calculation'!Print_Area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Calderon Gonzalez, Kristin (BHGE)</dc:creator>
  <cp:lastModifiedBy>Calderon Gonzalez, Kristin (GE Vernova)</cp:lastModifiedBy>
  <dcterms:created xsi:type="dcterms:W3CDTF">2020-12-10T21:57:01Z</dcterms:created>
  <dcterms:modified xsi:type="dcterms:W3CDTF">2024-11-26T20:37:10Z</dcterms:modified>
</cp:coreProperties>
</file>